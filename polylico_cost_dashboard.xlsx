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D3C1B83-8838-41E1-91D6-BF17198E9E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s" sheetId="1" r:id="rId1"/>
    <sheet name="Formulations" sheetId="2" r:id="rId2"/>
    <sheet name="Costs" sheetId="3" r:id="rId3"/>
    <sheet name="Dashboard" sheetId="4" r:id="rId4"/>
    <sheet name="RunSizes" sheetId="5" r:id="rId5"/>
    <sheet name="CostosReales" sheetId="6" r:id="rId6"/>
    <sheet name="ResultadosCostos" sheetId="7" r:id="rId7"/>
  </sheets>
  <calcPr calcId="191029"/>
</workbook>
</file>

<file path=xl/calcChain.xml><?xml version="1.0" encoding="utf-8"?>
<calcChain xmlns="http://schemas.openxmlformats.org/spreadsheetml/2006/main">
  <c r="D5" i="7" l="1"/>
  <c r="C5" i="7"/>
  <c r="B5" i="7"/>
  <c r="E5" i="7" s="1"/>
  <c r="F5" i="7" s="1"/>
  <c r="G5" i="7" s="1"/>
  <c r="H5" i="7" s="1"/>
  <c r="I5" i="7" s="1"/>
  <c r="A5" i="7"/>
  <c r="D4" i="7"/>
  <c r="C4" i="7"/>
  <c r="B4" i="7"/>
  <c r="E4" i="7" s="1"/>
  <c r="F4" i="7" s="1"/>
  <c r="G4" i="7" s="1"/>
  <c r="H4" i="7" s="1"/>
  <c r="I4" i="7" s="1"/>
  <c r="A4" i="7"/>
  <c r="D3" i="7"/>
  <c r="C3" i="7"/>
  <c r="B3" i="7"/>
  <c r="E3" i="7" s="1"/>
  <c r="F3" i="7" s="1"/>
  <c r="G3" i="7" s="1"/>
  <c r="H3" i="7" s="1"/>
  <c r="I3" i="7" s="1"/>
  <c r="A3" i="7"/>
  <c r="D2" i="7"/>
  <c r="C2" i="7"/>
  <c r="B2" i="7"/>
  <c r="E2" i="7" s="1"/>
  <c r="F2" i="7" s="1"/>
  <c r="G2" i="7" s="1"/>
  <c r="H2" i="7" s="1"/>
  <c r="I2" i="7" s="1"/>
  <c r="A2" i="7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A5" i="4"/>
  <c r="A4" i="4"/>
  <c r="A3" i="4"/>
  <c r="A2" i="4"/>
  <c r="H5" i="3"/>
  <c r="G5" i="3"/>
  <c r="I5" i="3" s="1"/>
  <c r="F5" i="3"/>
  <c r="E5" i="3"/>
  <c r="D5" i="3"/>
  <c r="C5" i="3"/>
  <c r="B5" i="3"/>
  <c r="H4" i="3"/>
  <c r="G4" i="3"/>
  <c r="B4" i="4" s="1"/>
  <c r="F4" i="3"/>
  <c r="E4" i="3"/>
  <c r="D4" i="3"/>
  <c r="C4" i="3"/>
  <c r="B4" i="3"/>
  <c r="H3" i="3"/>
  <c r="F3" i="3"/>
  <c r="E3" i="3"/>
  <c r="D3" i="3"/>
  <c r="C3" i="3"/>
  <c r="B3" i="3"/>
  <c r="G3" i="3" s="1"/>
  <c r="H2" i="3"/>
  <c r="F2" i="3"/>
  <c r="E2" i="3"/>
  <c r="D2" i="3"/>
  <c r="C2" i="3"/>
  <c r="B2" i="3"/>
  <c r="G2" i="3" s="1"/>
  <c r="B3" i="4" l="1"/>
  <c r="I3" i="3"/>
  <c r="C31" i="5"/>
  <c r="C27" i="5"/>
  <c r="C23" i="5"/>
  <c r="C19" i="5"/>
  <c r="C15" i="5"/>
  <c r="C11" i="5"/>
  <c r="C7" i="5"/>
  <c r="C3" i="5"/>
  <c r="J5" i="3"/>
  <c r="D33" i="5"/>
  <c r="D29" i="5"/>
  <c r="D25" i="5"/>
  <c r="D21" i="5"/>
  <c r="D17" i="5"/>
  <c r="D13" i="5"/>
  <c r="D9" i="5"/>
  <c r="D5" i="5"/>
  <c r="C5" i="4"/>
  <c r="I2" i="3"/>
  <c r="C30" i="5"/>
  <c r="C26" i="5"/>
  <c r="C22" i="5"/>
  <c r="C18" i="5"/>
  <c r="C14" i="5"/>
  <c r="C10" i="5"/>
  <c r="C6" i="5"/>
  <c r="C2" i="5"/>
  <c r="B2" i="4"/>
  <c r="B5" i="4"/>
  <c r="I4" i="3"/>
  <c r="C4" i="5"/>
  <c r="C5" i="5"/>
  <c r="C8" i="5"/>
  <c r="C9" i="5"/>
  <c r="C12" i="5"/>
  <c r="C13" i="5"/>
  <c r="C16" i="5"/>
  <c r="C17" i="5"/>
  <c r="C20" i="5"/>
  <c r="C21" i="5"/>
  <c r="C24" i="5"/>
  <c r="C25" i="5"/>
  <c r="C28" i="5"/>
  <c r="C29" i="5"/>
  <c r="C32" i="5"/>
  <c r="C33" i="5"/>
  <c r="E33" i="5" l="1"/>
  <c r="E29" i="5"/>
  <c r="E25" i="5"/>
  <c r="E21" i="5"/>
  <c r="E17" i="5"/>
  <c r="E13" i="5"/>
  <c r="E9" i="5"/>
  <c r="E5" i="5"/>
  <c r="D5" i="4"/>
  <c r="E5" i="4" s="1"/>
  <c r="C3" i="4"/>
  <c r="D31" i="5"/>
  <c r="D27" i="5"/>
  <c r="D23" i="5"/>
  <c r="D19" i="5"/>
  <c r="D15" i="5"/>
  <c r="D11" i="5"/>
  <c r="D7" i="5"/>
  <c r="D3" i="5"/>
  <c r="J3" i="3"/>
  <c r="D32" i="5"/>
  <c r="D28" i="5"/>
  <c r="D24" i="5"/>
  <c r="D20" i="5"/>
  <c r="D16" i="5"/>
  <c r="D12" i="5"/>
  <c r="D8" i="5"/>
  <c r="D4" i="5"/>
  <c r="J4" i="3"/>
  <c r="C4" i="4"/>
  <c r="D30" i="5"/>
  <c r="D26" i="5"/>
  <c r="D22" i="5"/>
  <c r="D18" i="5"/>
  <c r="D14" i="5"/>
  <c r="D10" i="5"/>
  <c r="D6" i="5"/>
  <c r="D2" i="5"/>
  <c r="C2" i="4"/>
  <c r="J2" i="3"/>
  <c r="E32" i="5" l="1"/>
  <c r="E28" i="5"/>
  <c r="E24" i="5"/>
  <c r="E20" i="5"/>
  <c r="E16" i="5"/>
  <c r="E12" i="5"/>
  <c r="E8" i="5"/>
  <c r="E4" i="5"/>
  <c r="D4" i="4"/>
  <c r="E4" i="4" s="1"/>
  <c r="E30" i="5"/>
  <c r="E26" i="5"/>
  <c r="E22" i="5"/>
  <c r="E18" i="5"/>
  <c r="E14" i="5"/>
  <c r="E10" i="5"/>
  <c r="E6" i="5"/>
  <c r="E2" i="5"/>
  <c r="D2" i="4"/>
  <c r="E2" i="4" s="1"/>
  <c r="E31" i="5"/>
  <c r="E27" i="5"/>
  <c r="E23" i="5"/>
  <c r="E19" i="5"/>
  <c r="E15" i="5"/>
  <c r="E11" i="5"/>
  <c r="E7" i="5"/>
  <c r="E3" i="5"/>
  <c r="D3" i="4"/>
  <c r="E3" i="4" s="1"/>
</calcChain>
</file>

<file path=xl/sharedStrings.xml><?xml version="1.0" encoding="utf-8"?>
<sst xmlns="http://schemas.openxmlformats.org/spreadsheetml/2006/main" count="125" uniqueCount="80">
  <si>
    <t>Parámetro</t>
  </si>
  <si>
    <t>Valor</t>
  </si>
  <si>
    <t>Unidad</t>
  </si>
  <si>
    <t>Descripción</t>
  </si>
  <si>
    <t>Costo LLDPE por kg</t>
  </si>
  <si>
    <t>currency/kg</t>
  </si>
  <si>
    <t>Costo de resina LLDPE por kilogramo</t>
  </si>
  <si>
    <t>Costo LDPE por kg</t>
  </si>
  <si>
    <t>Costo de resina LDPE por kilogramo</t>
  </si>
  <si>
    <t>Costo HDPE por kg</t>
  </si>
  <si>
    <t>Costo de resina HDPE por kilogramo</t>
  </si>
  <si>
    <t>Costo aditivo UV por kg</t>
  </si>
  <si>
    <t>Costo de aditivo UV por kilogramo</t>
  </si>
  <si>
    <t>Costo de energía por kWh</t>
  </si>
  <si>
    <t>currency/kWh</t>
  </si>
  <si>
    <t>Costo de electricidad por kilowatt-hora</t>
  </si>
  <si>
    <t>Consumo de energía por kg</t>
  </si>
  <si>
    <t>kWh/kg</t>
  </si>
  <si>
    <t>Energía utilizada por kg de película producida</t>
  </si>
  <si>
    <t>Costo de mano de obra por hora</t>
  </si>
  <si>
    <t>currency/hour</t>
  </si>
  <si>
    <t>Horas de mano de obra por kg</t>
  </si>
  <si>
    <t>hours/kg</t>
  </si>
  <si>
    <t>Horas de trabajo necesarias por kg de película</t>
  </si>
  <si>
    <t>Costo de gastos generales por kg</t>
  </si>
  <si>
    <t>Gastos generales asignados por kg</t>
  </si>
  <si>
    <t>Costo de empaque por kg</t>
  </si>
  <si>
    <t>Costo de empaque por kg de película</t>
  </si>
  <si>
    <t>Porcentaje de margen</t>
  </si>
  <si>
    <t>%</t>
  </si>
  <si>
    <t>Margen de ganancia deseado como porcentaje (ej., 20 para 20%)</t>
  </si>
  <si>
    <t>Tipo de producto</t>
  </si>
  <si>
    <t>% LLDPE</t>
  </si>
  <si>
    <t>% LDPE</t>
  </si>
  <si>
    <t>% HDPE</t>
  </si>
  <si>
    <t>% aditivo UV</t>
  </si>
  <si>
    <t>Otros ingredientes</t>
  </si>
  <si>
    <t>Película natural sin aditivos</t>
  </si>
  <si>
    <t>Película termoencogible</t>
  </si>
  <si>
    <t>Película natural termoencogible con UV 18 meses</t>
  </si>
  <si>
    <t>Película coex</t>
  </si>
  <si>
    <t>Costo de materiales por kg</t>
  </si>
  <si>
    <t>Costo de energía por kg</t>
  </si>
  <si>
    <t>Costo de mano de obra por kg</t>
  </si>
  <si>
    <t>Gastos generales por kg</t>
  </si>
  <si>
    <t>Costo total por kg</t>
  </si>
  <si>
    <t>Margen (%)</t>
  </si>
  <si>
    <t>Precio de venta por kg</t>
  </si>
  <si>
    <t>Utilidad por kg</t>
  </si>
  <si>
    <t>Margen de utilidad</t>
  </si>
  <si>
    <t>Tamaño de corrida (kg)</t>
  </si>
  <si>
    <t>Costo total</t>
  </si>
  <si>
    <t>Precio total de venta</t>
  </si>
  <si>
    <t>Utilidad total</t>
  </si>
  <si>
    <t>Costo real de LLDPE por kg</t>
  </si>
  <si>
    <t>Costo real de LDPE por kg</t>
  </si>
  <si>
    <t>Costo real de HDPE por kg</t>
  </si>
  <si>
    <t>Costo real de aditivo UV por kg</t>
  </si>
  <si>
    <t>Costo real de electricidad</t>
  </si>
  <si>
    <t>Consumo real de energía por kg</t>
  </si>
  <si>
    <t>Costo real de mano de obra por hora</t>
  </si>
  <si>
    <t>Horas reales de mano de obra por kg</t>
  </si>
  <si>
    <t>Gastos generales reales por kg</t>
  </si>
  <si>
    <t>Costo real de empaque por kg</t>
  </si>
  <si>
    <t>Porcentaje de margen deseado</t>
  </si>
  <si>
    <t>Costo Evita por kg</t>
  </si>
  <si>
    <t>Otro costo (Evita) por kg</t>
  </si>
  <si>
    <t>Costo de materiales</t>
  </si>
  <si>
    <t>Costo de energía</t>
  </si>
  <si>
    <t>Costo de mano de obra</t>
  </si>
  <si>
    <t>Costo de producción</t>
  </si>
  <si>
    <t>Costo de fabricación</t>
  </si>
  <si>
    <t>Precio de venta</t>
  </si>
  <si>
    <t>Margen</t>
  </si>
  <si>
    <t>Margen menos Evita</t>
  </si>
  <si>
    <t>Fórmula mostrada (Fabricación)</t>
  </si>
  <si>
    <t>Production + Overhead + Packaging; =E2+CostosReales!B10+CostosReales!B11</t>
  </si>
  <si>
    <t>Production + Overhead + Packaging; =E3+CostosReales!B10+CostosReales!B11</t>
  </si>
  <si>
    <t>Production + Overhead + Packaging; =E4+CostosReales!B10+CostosReales!B11</t>
  </si>
  <si>
    <t>Production + Overhead + Packaging; =E5+CostosReales!B10+CostosReales!B11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</si>
</sst>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10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44" fontId="3" fillId="0" borderId="1" xfId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31" sqref="B31"/>
    </sheetView>
  </sheetViews>
  <sheetFormatPr baseColWidth="10" defaultColWidth="9.140625" defaultRowHeight="12.75" x14ac:dyDescent="0.2"/>
  <cols>
    <col min="1" max="1" width="30" style="2" customWidth="1"/>
    <col min="2" max="2" width="30" style="8" customWidth="1"/>
    <col min="3" max="3" width="30" style="2" customWidth="1"/>
    <col min="4" max="4" width="56" style="2" bestFit="1" customWidth="1"/>
    <col min="5" max="16384" width="9.140625" style="2"/>
  </cols>
  <sheetData>
    <row r="1" spans="1:4" x14ac:dyDescent="0.2">
      <c r="A1" s="1" t="s">
        <v>0</v>
      </c>
      <c r="B1" s="5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6">
        <v>25</v>
      </c>
      <c r="C2" s="3" t="s">
        <v>5</v>
      </c>
      <c r="D2" s="3" t="s">
        <v>6</v>
      </c>
    </row>
    <row r="3" spans="1:4" x14ac:dyDescent="0.2">
      <c r="A3" s="3" t="s">
        <v>7</v>
      </c>
      <c r="B3" s="6">
        <v>24</v>
      </c>
      <c r="C3" s="3" t="s">
        <v>5</v>
      </c>
      <c r="D3" s="3" t="s">
        <v>8</v>
      </c>
    </row>
    <row r="4" spans="1:4" x14ac:dyDescent="0.2">
      <c r="A4" s="3" t="s">
        <v>9</v>
      </c>
      <c r="B4" s="6">
        <v>22</v>
      </c>
      <c r="C4" s="3" t="s">
        <v>5</v>
      </c>
      <c r="D4" s="3" t="s">
        <v>10</v>
      </c>
    </row>
    <row r="5" spans="1:4" x14ac:dyDescent="0.2">
      <c r="A5" s="3" t="s">
        <v>11</v>
      </c>
      <c r="B5" s="6">
        <v>80</v>
      </c>
      <c r="C5" s="3" t="s">
        <v>5</v>
      </c>
      <c r="D5" s="3" t="s">
        <v>12</v>
      </c>
    </row>
    <row r="6" spans="1:4" x14ac:dyDescent="0.2">
      <c r="A6" s="3" t="s">
        <v>13</v>
      </c>
      <c r="B6" s="6">
        <v>1.5</v>
      </c>
      <c r="C6" s="3" t="s">
        <v>14</v>
      </c>
      <c r="D6" s="3" t="s">
        <v>15</v>
      </c>
    </row>
    <row r="7" spans="1:4" x14ac:dyDescent="0.2">
      <c r="A7" s="3" t="s">
        <v>16</v>
      </c>
      <c r="B7" s="6">
        <v>0.5</v>
      </c>
      <c r="C7" s="3" t="s">
        <v>17</v>
      </c>
      <c r="D7" s="3" t="s">
        <v>18</v>
      </c>
    </row>
    <row r="8" spans="1:4" x14ac:dyDescent="0.2">
      <c r="A8" s="3" t="s">
        <v>19</v>
      </c>
      <c r="B8" s="6">
        <v>50</v>
      </c>
      <c r="C8" s="3" t="s">
        <v>20</v>
      </c>
      <c r="D8" s="3" t="s">
        <v>19</v>
      </c>
    </row>
    <row r="9" spans="1:4" x14ac:dyDescent="0.2">
      <c r="A9" s="3" t="s">
        <v>21</v>
      </c>
      <c r="B9" s="6">
        <v>0.05</v>
      </c>
      <c r="C9" s="3" t="s">
        <v>22</v>
      </c>
      <c r="D9" s="3" t="s">
        <v>23</v>
      </c>
    </row>
    <row r="10" spans="1:4" x14ac:dyDescent="0.2">
      <c r="A10" s="3" t="s">
        <v>24</v>
      </c>
      <c r="B10" s="6">
        <v>5</v>
      </c>
      <c r="C10" s="3" t="s">
        <v>5</v>
      </c>
      <c r="D10" s="3" t="s">
        <v>25</v>
      </c>
    </row>
    <row r="11" spans="1:4" x14ac:dyDescent="0.2">
      <c r="A11" s="3" t="s">
        <v>26</v>
      </c>
      <c r="B11" s="6">
        <v>2</v>
      </c>
      <c r="C11" s="3" t="s">
        <v>5</v>
      </c>
      <c r="D11" s="3" t="s">
        <v>27</v>
      </c>
    </row>
    <row r="12" spans="1:4" x14ac:dyDescent="0.2">
      <c r="A12" s="3" t="s">
        <v>28</v>
      </c>
      <c r="B12" s="7">
        <v>0.2</v>
      </c>
      <c r="C12" s="3" t="s">
        <v>29</v>
      </c>
      <c r="D12" s="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A11" sqref="A11"/>
    </sheetView>
  </sheetViews>
  <sheetFormatPr baseColWidth="10" defaultColWidth="9.140625" defaultRowHeight="12.75" x14ac:dyDescent="0.2"/>
  <cols>
    <col min="1" max="1" width="43.140625" style="2" bestFit="1" customWidth="1"/>
    <col min="2" max="6" width="20" style="2" customWidth="1"/>
    <col min="7" max="16384" width="9.140625" style="2"/>
  </cols>
  <sheetData>
    <row r="1" spans="1:6" x14ac:dyDescent="0.2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</row>
    <row r="2" spans="1:6" x14ac:dyDescent="0.2">
      <c r="A2" s="3" t="s">
        <v>37</v>
      </c>
      <c r="B2" s="6">
        <v>1</v>
      </c>
      <c r="C2" s="6">
        <v>0</v>
      </c>
      <c r="D2" s="6">
        <v>0</v>
      </c>
      <c r="E2" s="6">
        <v>0</v>
      </c>
      <c r="F2" s="6"/>
    </row>
    <row r="3" spans="1:6" x14ac:dyDescent="0.2">
      <c r="A3" s="3" t="s">
        <v>38</v>
      </c>
      <c r="B3" s="6">
        <v>0.2</v>
      </c>
      <c r="C3" s="6">
        <v>0.8</v>
      </c>
      <c r="D3" s="6">
        <v>0</v>
      </c>
      <c r="E3" s="6">
        <v>0</v>
      </c>
      <c r="F3" s="6"/>
    </row>
    <row r="4" spans="1:6" x14ac:dyDescent="0.2">
      <c r="A4" s="3" t="s">
        <v>39</v>
      </c>
      <c r="B4" s="6">
        <v>0.2</v>
      </c>
      <c r="C4" s="6">
        <v>0.78</v>
      </c>
      <c r="D4" s="6">
        <v>0</v>
      </c>
      <c r="E4" s="6">
        <v>0.02</v>
      </c>
      <c r="F4" s="6"/>
    </row>
    <row r="5" spans="1:6" x14ac:dyDescent="0.2">
      <c r="A5" s="3" t="s">
        <v>40</v>
      </c>
      <c r="B5" s="6">
        <v>0.4</v>
      </c>
      <c r="C5" s="6">
        <v>0.3</v>
      </c>
      <c r="D5" s="6">
        <v>0.3</v>
      </c>
      <c r="E5" s="6">
        <v>0</v>
      </c>
      <c r="F5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10" sqref="A10"/>
    </sheetView>
  </sheetViews>
  <sheetFormatPr baseColWidth="10" defaultColWidth="9.140625" defaultRowHeight="15" x14ac:dyDescent="0.25"/>
  <cols>
    <col min="1" max="1" width="43.140625" bestFit="1" customWidth="1"/>
    <col min="2" max="2" width="25.5703125" bestFit="1" customWidth="1"/>
    <col min="3" max="3" width="23" bestFit="1" customWidth="1"/>
    <col min="4" max="4" width="28.85546875" bestFit="1" customWidth="1"/>
    <col min="5" max="5" width="23.140625" bestFit="1" customWidth="1"/>
    <col min="6" max="6" width="24.5703125" bestFit="1" customWidth="1"/>
    <col min="7" max="10" width="21.7109375" customWidth="1"/>
  </cols>
  <sheetData>
    <row r="1" spans="1:10" x14ac:dyDescent="0.25">
      <c r="A1" s="5" t="s">
        <v>31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26</v>
      </c>
      <c r="G1" s="5" t="s">
        <v>45</v>
      </c>
      <c r="H1" s="5" t="s">
        <v>46</v>
      </c>
      <c r="I1" s="5" t="s">
        <v>47</v>
      </c>
      <c r="J1" s="5" t="s">
        <v>48</v>
      </c>
    </row>
    <row r="2" spans="1:10" x14ac:dyDescent="0.25">
      <c r="A2" s="9" t="s">
        <v>37</v>
      </c>
      <c r="B2" s="6">
        <f>Formulations!B2*Inputs!B2 + Formulations!C2*Inputs!B3 + Formulations!D2*Inputs!B4 + Formulations!E2*Inputs!B5</f>
        <v>25</v>
      </c>
      <c r="C2" s="6">
        <f>Inputs!B6*Inputs!B7</f>
        <v>0.75</v>
      </c>
      <c r="D2" s="6">
        <f>Inputs!B8*Inputs!B9</f>
        <v>2.5</v>
      </c>
      <c r="E2" s="6">
        <f>Inputs!B10</f>
        <v>5</v>
      </c>
      <c r="F2" s="6">
        <f>Inputs!B11</f>
        <v>2</v>
      </c>
      <c r="G2" s="6">
        <f>SUM(B2:F2)</f>
        <v>35.25</v>
      </c>
      <c r="H2" s="6">
        <f>Inputs!B12</f>
        <v>0.2</v>
      </c>
      <c r="I2" s="6">
        <f>G2/(1 - H2)</f>
        <v>44.0625</v>
      </c>
      <c r="J2" s="6">
        <f>I2-G2</f>
        <v>8.8125</v>
      </c>
    </row>
    <row r="3" spans="1:10" x14ac:dyDescent="0.25">
      <c r="A3" s="9" t="s">
        <v>38</v>
      </c>
      <c r="B3" s="6">
        <f>Formulations!B3*Inputs!B2 + Formulations!C3*Inputs!B3 + Formulations!D3*Inputs!B4 + Formulations!E3*Inputs!B5</f>
        <v>24.200000000000003</v>
      </c>
      <c r="C3" s="6">
        <f>Inputs!B6*Inputs!B7</f>
        <v>0.75</v>
      </c>
      <c r="D3" s="6">
        <f>Inputs!B8*Inputs!B9</f>
        <v>2.5</v>
      </c>
      <c r="E3" s="6">
        <f>Inputs!B10</f>
        <v>5</v>
      </c>
      <c r="F3" s="6">
        <f>Inputs!B11</f>
        <v>2</v>
      </c>
      <c r="G3" s="6">
        <f>SUM(B3:F3)</f>
        <v>34.450000000000003</v>
      </c>
      <c r="H3" s="6">
        <f>Inputs!B12</f>
        <v>0.2</v>
      </c>
      <c r="I3" s="6">
        <f>G3/(1 - H3)</f>
        <v>43.0625</v>
      </c>
      <c r="J3" s="6">
        <f>I3-G3</f>
        <v>8.6124999999999972</v>
      </c>
    </row>
    <row r="4" spans="1:10" x14ac:dyDescent="0.25">
      <c r="A4" s="9" t="s">
        <v>39</v>
      </c>
      <c r="B4" s="6">
        <f>Formulations!B4*Inputs!B2 + Formulations!C4*Inputs!B3 + Formulations!D4*Inputs!B4 + Formulations!E4*Inputs!B5</f>
        <v>25.32</v>
      </c>
      <c r="C4" s="6">
        <f>Inputs!B6*Inputs!B7</f>
        <v>0.75</v>
      </c>
      <c r="D4" s="6">
        <f>Inputs!B8*Inputs!B9</f>
        <v>2.5</v>
      </c>
      <c r="E4" s="6">
        <f>Inputs!B10</f>
        <v>5</v>
      </c>
      <c r="F4" s="6">
        <f>Inputs!B11</f>
        <v>2</v>
      </c>
      <c r="G4" s="6">
        <f>SUM(B4:F4)</f>
        <v>35.57</v>
      </c>
      <c r="H4" s="6">
        <f>Inputs!B12</f>
        <v>0.2</v>
      </c>
      <c r="I4" s="6">
        <f>G4/(1 - H4)</f>
        <v>44.462499999999999</v>
      </c>
      <c r="J4" s="6">
        <f>I4-G4</f>
        <v>8.8924999999999983</v>
      </c>
    </row>
    <row r="5" spans="1:10" x14ac:dyDescent="0.25">
      <c r="A5" s="9" t="s">
        <v>40</v>
      </c>
      <c r="B5" s="6">
        <f>Formulations!B5*Inputs!B2 + Formulations!C5*Inputs!B3 + Formulations!D5*Inputs!B4 + Formulations!E5*Inputs!B5</f>
        <v>23.799999999999997</v>
      </c>
      <c r="C5" s="6">
        <f>Inputs!B6*Inputs!B7</f>
        <v>0.75</v>
      </c>
      <c r="D5" s="6">
        <f>Inputs!B8*Inputs!B9</f>
        <v>2.5</v>
      </c>
      <c r="E5" s="6">
        <f>Inputs!B10</f>
        <v>5</v>
      </c>
      <c r="F5" s="6">
        <f>Inputs!B11</f>
        <v>2</v>
      </c>
      <c r="G5" s="6">
        <f>SUM(B5:F5)</f>
        <v>34.049999999999997</v>
      </c>
      <c r="H5" s="6">
        <f>Inputs!B12</f>
        <v>0.2</v>
      </c>
      <c r="I5" s="6">
        <f>G5/(1 - H5)</f>
        <v>42.562499999999993</v>
      </c>
      <c r="J5" s="6">
        <f>I5-G5</f>
        <v>8.5124999999999957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B12" sqref="B12"/>
    </sheetView>
  </sheetViews>
  <sheetFormatPr baseColWidth="10" defaultColWidth="9.140625" defaultRowHeight="12.75" x14ac:dyDescent="0.2"/>
  <cols>
    <col min="1" max="1" width="43.140625" style="2" bestFit="1" customWidth="1"/>
    <col min="2" max="2" width="17" style="2" bestFit="1" customWidth="1"/>
    <col min="3" max="3" width="21.85546875" style="2" bestFit="1" customWidth="1"/>
    <col min="4" max="4" width="14.28515625" style="2" bestFit="1" customWidth="1"/>
    <col min="5" max="5" width="18.28515625" style="2" bestFit="1" customWidth="1"/>
    <col min="6" max="16384" width="9.140625" style="2"/>
  </cols>
  <sheetData>
    <row r="1" spans="1:5" x14ac:dyDescent="0.2">
      <c r="A1" s="5" t="s">
        <v>31</v>
      </c>
      <c r="B1" s="5" t="s">
        <v>45</v>
      </c>
      <c r="C1" s="5" t="s">
        <v>47</v>
      </c>
      <c r="D1" s="5" t="s">
        <v>48</v>
      </c>
      <c r="E1" s="5" t="s">
        <v>49</v>
      </c>
    </row>
    <row r="2" spans="1:5" x14ac:dyDescent="0.2">
      <c r="A2" s="9" t="str">
        <f>Costs!A2</f>
        <v>Película natural sin aditivos</v>
      </c>
      <c r="B2" s="6">
        <f>Costs!G2</f>
        <v>35.25</v>
      </c>
      <c r="C2" s="6">
        <f>Costs!I2</f>
        <v>44.0625</v>
      </c>
      <c r="D2" s="6">
        <f>Costs!J2</f>
        <v>8.8125</v>
      </c>
      <c r="E2" s="7">
        <f>D2/C2</f>
        <v>0.2</v>
      </c>
    </row>
    <row r="3" spans="1:5" x14ac:dyDescent="0.2">
      <c r="A3" s="9" t="str">
        <f>Costs!A3</f>
        <v>Película termoencogible</v>
      </c>
      <c r="B3" s="6">
        <f>Costs!G3</f>
        <v>34.450000000000003</v>
      </c>
      <c r="C3" s="6">
        <f>Costs!I3</f>
        <v>43.0625</v>
      </c>
      <c r="D3" s="6">
        <f>Costs!J3</f>
        <v>8.6124999999999972</v>
      </c>
      <c r="E3" s="7">
        <f>D3/C3</f>
        <v>0.19999999999999993</v>
      </c>
    </row>
    <row r="4" spans="1:5" x14ac:dyDescent="0.2">
      <c r="A4" s="9" t="str">
        <f>Costs!A4</f>
        <v>Película natural termoencogible con UV 18 meses</v>
      </c>
      <c r="B4" s="6">
        <f>Costs!G4</f>
        <v>35.57</v>
      </c>
      <c r="C4" s="6">
        <f>Costs!I4</f>
        <v>44.462499999999999</v>
      </c>
      <c r="D4" s="6">
        <f>Costs!J4</f>
        <v>8.8924999999999983</v>
      </c>
      <c r="E4" s="7">
        <f>D4/C4</f>
        <v>0.19999999999999996</v>
      </c>
    </row>
    <row r="5" spans="1:5" x14ac:dyDescent="0.2">
      <c r="A5" s="9" t="str">
        <f>Costs!A5</f>
        <v>Película coex</v>
      </c>
      <c r="B5" s="6">
        <f>Costs!G5</f>
        <v>34.049999999999997</v>
      </c>
      <c r="C5" s="6">
        <f>Costs!I5</f>
        <v>42.562499999999993</v>
      </c>
      <c r="D5" s="6">
        <f>Costs!J5</f>
        <v>8.5124999999999957</v>
      </c>
      <c r="E5" s="7">
        <f>D5/C5</f>
        <v>0.19999999999999993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I30" sqref="I30"/>
    </sheetView>
  </sheetViews>
  <sheetFormatPr baseColWidth="10" defaultColWidth="9.140625" defaultRowHeight="12.75" x14ac:dyDescent="0.2"/>
  <cols>
    <col min="1" max="1" width="22" style="2" customWidth="1"/>
    <col min="2" max="2" width="45.140625" style="2" bestFit="1" customWidth="1"/>
    <col min="3" max="5" width="22" style="8" customWidth="1"/>
    <col min="6" max="16384" width="9.140625" style="2"/>
  </cols>
  <sheetData>
    <row r="1" spans="1:5" x14ac:dyDescent="0.2">
      <c r="A1" s="5" t="s">
        <v>50</v>
      </c>
      <c r="B1" s="5" t="s">
        <v>31</v>
      </c>
      <c r="C1" s="5" t="s">
        <v>51</v>
      </c>
      <c r="D1" s="5" t="s">
        <v>52</v>
      </c>
      <c r="E1" s="5" t="s">
        <v>53</v>
      </c>
    </row>
    <row r="2" spans="1:5" x14ac:dyDescent="0.2">
      <c r="A2" s="6">
        <v>200</v>
      </c>
      <c r="B2" s="9" t="str">
        <f>Costs!A2</f>
        <v>Película natural sin aditivos</v>
      </c>
      <c r="C2" s="10">
        <f>200*Costs!G2</f>
        <v>7050</v>
      </c>
      <c r="D2" s="10">
        <f>200*Costs!I2</f>
        <v>8812.5</v>
      </c>
      <c r="E2" s="10">
        <f>200*Costs!J2</f>
        <v>1762.5</v>
      </c>
    </row>
    <row r="3" spans="1:5" x14ac:dyDescent="0.2">
      <c r="A3" s="6">
        <v>200</v>
      </c>
      <c r="B3" s="9" t="str">
        <f>Costs!A3</f>
        <v>Película termoencogible</v>
      </c>
      <c r="C3" s="10">
        <f>200*Costs!G3</f>
        <v>6890.0000000000009</v>
      </c>
      <c r="D3" s="10">
        <f>200*Costs!I3</f>
        <v>8612.5</v>
      </c>
      <c r="E3" s="10">
        <f>200*Costs!J3</f>
        <v>1722.4999999999995</v>
      </c>
    </row>
    <row r="4" spans="1:5" x14ac:dyDescent="0.2">
      <c r="A4" s="6">
        <v>200</v>
      </c>
      <c r="B4" s="9" t="str">
        <f>Costs!A4</f>
        <v>Película natural termoencogible con UV 18 meses</v>
      </c>
      <c r="C4" s="10">
        <f>200*Costs!G4</f>
        <v>7114</v>
      </c>
      <c r="D4" s="10">
        <f>200*Costs!I4</f>
        <v>8892.5</v>
      </c>
      <c r="E4" s="10">
        <f>200*Costs!J4</f>
        <v>1778.4999999999995</v>
      </c>
    </row>
    <row r="5" spans="1:5" x14ac:dyDescent="0.2">
      <c r="A5" s="6">
        <v>200</v>
      </c>
      <c r="B5" s="9" t="str">
        <f>Costs!A5</f>
        <v>Película coex</v>
      </c>
      <c r="C5" s="10">
        <f>200*Costs!G5</f>
        <v>6809.9999999999991</v>
      </c>
      <c r="D5" s="10">
        <f>200*Costs!I5</f>
        <v>8512.4999999999982</v>
      </c>
      <c r="E5" s="10">
        <f>200*Costs!J5</f>
        <v>1702.4999999999991</v>
      </c>
    </row>
    <row r="6" spans="1:5" x14ac:dyDescent="0.2">
      <c r="A6" s="6">
        <v>500</v>
      </c>
      <c r="B6" s="9" t="str">
        <f>Costs!A2</f>
        <v>Película natural sin aditivos</v>
      </c>
      <c r="C6" s="10">
        <f>500*Costs!G2</f>
        <v>17625</v>
      </c>
      <c r="D6" s="10">
        <f>500*Costs!I2</f>
        <v>22031.25</v>
      </c>
      <c r="E6" s="10">
        <f>500*Costs!J2</f>
        <v>4406.25</v>
      </c>
    </row>
    <row r="7" spans="1:5" x14ac:dyDescent="0.2">
      <c r="A7" s="6">
        <v>500</v>
      </c>
      <c r="B7" s="9" t="str">
        <f>Costs!A3</f>
        <v>Película termoencogible</v>
      </c>
      <c r="C7" s="10">
        <f>500*Costs!G3</f>
        <v>17225</v>
      </c>
      <c r="D7" s="10">
        <f>500*Costs!I3</f>
        <v>21531.25</v>
      </c>
      <c r="E7" s="10">
        <f>500*Costs!J3</f>
        <v>4306.2499999999982</v>
      </c>
    </row>
    <row r="8" spans="1:5" x14ac:dyDescent="0.2">
      <c r="A8" s="6">
        <v>500</v>
      </c>
      <c r="B8" s="9" t="str">
        <f>Costs!A4</f>
        <v>Película natural termoencogible con UV 18 meses</v>
      </c>
      <c r="C8" s="10">
        <f>500*Costs!G4</f>
        <v>17785</v>
      </c>
      <c r="D8" s="10">
        <f>500*Costs!I4</f>
        <v>22231.25</v>
      </c>
      <c r="E8" s="10">
        <f>500*Costs!J4</f>
        <v>4446.2499999999991</v>
      </c>
    </row>
    <row r="9" spans="1:5" x14ac:dyDescent="0.2">
      <c r="A9" s="6">
        <v>500</v>
      </c>
      <c r="B9" s="9" t="str">
        <f>Costs!A5</f>
        <v>Película coex</v>
      </c>
      <c r="C9" s="10">
        <f>500*Costs!G5</f>
        <v>17025</v>
      </c>
      <c r="D9" s="10">
        <f>500*Costs!I5</f>
        <v>21281.249999999996</v>
      </c>
      <c r="E9" s="10">
        <f>500*Costs!J5</f>
        <v>4256.2499999999982</v>
      </c>
    </row>
    <row r="10" spans="1:5" x14ac:dyDescent="0.2">
      <c r="A10" s="6">
        <v>1000</v>
      </c>
      <c r="B10" s="9" t="str">
        <f>Costs!A2</f>
        <v>Película natural sin aditivos</v>
      </c>
      <c r="C10" s="10">
        <f>1000*Costs!G2</f>
        <v>35250</v>
      </c>
      <c r="D10" s="10">
        <f>1000*Costs!I2</f>
        <v>44062.5</v>
      </c>
      <c r="E10" s="10">
        <f>1000*Costs!J2</f>
        <v>8812.5</v>
      </c>
    </row>
    <row r="11" spans="1:5" x14ac:dyDescent="0.2">
      <c r="A11" s="6">
        <v>1000</v>
      </c>
      <c r="B11" s="9" t="str">
        <f>Costs!A3</f>
        <v>Película termoencogible</v>
      </c>
      <c r="C11" s="10">
        <f>1000*Costs!G3</f>
        <v>34450</v>
      </c>
      <c r="D11" s="10">
        <f>1000*Costs!I3</f>
        <v>43062.5</v>
      </c>
      <c r="E11" s="10">
        <f>1000*Costs!J3</f>
        <v>8612.4999999999964</v>
      </c>
    </row>
    <row r="12" spans="1:5" x14ac:dyDescent="0.2">
      <c r="A12" s="6">
        <v>1000</v>
      </c>
      <c r="B12" s="9" t="str">
        <f>Costs!A4</f>
        <v>Película natural termoencogible con UV 18 meses</v>
      </c>
      <c r="C12" s="10">
        <f>1000*Costs!G4</f>
        <v>35570</v>
      </c>
      <c r="D12" s="10">
        <f>1000*Costs!I4</f>
        <v>44462.5</v>
      </c>
      <c r="E12" s="10">
        <f>1000*Costs!J4</f>
        <v>8892.4999999999982</v>
      </c>
    </row>
    <row r="13" spans="1:5" x14ac:dyDescent="0.2">
      <c r="A13" s="6">
        <v>1000</v>
      </c>
      <c r="B13" s="9" t="str">
        <f>Costs!A5</f>
        <v>Película coex</v>
      </c>
      <c r="C13" s="10">
        <f>1000*Costs!G5</f>
        <v>34050</v>
      </c>
      <c r="D13" s="10">
        <f>1000*Costs!I5</f>
        <v>42562.499999999993</v>
      </c>
      <c r="E13" s="10">
        <f>1000*Costs!J5</f>
        <v>8512.4999999999964</v>
      </c>
    </row>
    <row r="14" spans="1:5" x14ac:dyDescent="0.2">
      <c r="A14" s="6">
        <v>2000</v>
      </c>
      <c r="B14" s="9" t="str">
        <f>Costs!A2</f>
        <v>Película natural sin aditivos</v>
      </c>
      <c r="C14" s="10">
        <f>2000*Costs!G2</f>
        <v>70500</v>
      </c>
      <c r="D14" s="10">
        <f>2000*Costs!I2</f>
        <v>88125</v>
      </c>
      <c r="E14" s="10">
        <f>2000*Costs!J2</f>
        <v>17625</v>
      </c>
    </row>
    <row r="15" spans="1:5" x14ac:dyDescent="0.2">
      <c r="A15" s="6">
        <v>2000</v>
      </c>
      <c r="B15" s="9" t="str">
        <f>Costs!A3</f>
        <v>Película termoencogible</v>
      </c>
      <c r="C15" s="10">
        <f>2000*Costs!G3</f>
        <v>68900</v>
      </c>
      <c r="D15" s="10">
        <f>2000*Costs!I3</f>
        <v>86125</v>
      </c>
      <c r="E15" s="10">
        <f>2000*Costs!J3</f>
        <v>17224.999999999993</v>
      </c>
    </row>
    <row r="16" spans="1:5" x14ac:dyDescent="0.2">
      <c r="A16" s="6">
        <v>2000</v>
      </c>
      <c r="B16" s="9" t="str">
        <f>Costs!A4</f>
        <v>Película natural termoencogible con UV 18 meses</v>
      </c>
      <c r="C16" s="10">
        <f>2000*Costs!G4</f>
        <v>71140</v>
      </c>
      <c r="D16" s="10">
        <f>2000*Costs!I4</f>
        <v>88925</v>
      </c>
      <c r="E16" s="10">
        <f>2000*Costs!J4</f>
        <v>17784.999999999996</v>
      </c>
    </row>
    <row r="17" spans="1:5" x14ac:dyDescent="0.2">
      <c r="A17" s="6">
        <v>2000</v>
      </c>
      <c r="B17" s="9" t="str">
        <f>Costs!A5</f>
        <v>Película coex</v>
      </c>
      <c r="C17" s="10">
        <f>2000*Costs!G5</f>
        <v>68100</v>
      </c>
      <c r="D17" s="10">
        <f>2000*Costs!I5</f>
        <v>85124.999999999985</v>
      </c>
      <c r="E17" s="10">
        <f>2000*Costs!J5</f>
        <v>17024.999999999993</v>
      </c>
    </row>
    <row r="18" spans="1:5" x14ac:dyDescent="0.2">
      <c r="A18" s="6">
        <v>5000</v>
      </c>
      <c r="B18" s="9" t="str">
        <f>Costs!A2</f>
        <v>Película natural sin aditivos</v>
      </c>
      <c r="C18" s="10">
        <f>5000*Costs!G2</f>
        <v>176250</v>
      </c>
      <c r="D18" s="10">
        <f>5000*Costs!I2</f>
        <v>220312.5</v>
      </c>
      <c r="E18" s="10">
        <f>5000*Costs!J2</f>
        <v>44062.5</v>
      </c>
    </row>
    <row r="19" spans="1:5" x14ac:dyDescent="0.2">
      <c r="A19" s="6">
        <v>5000</v>
      </c>
      <c r="B19" s="9" t="str">
        <f>Costs!A3</f>
        <v>Película termoencogible</v>
      </c>
      <c r="C19" s="10">
        <f>5000*Costs!G3</f>
        <v>172250</v>
      </c>
      <c r="D19" s="10">
        <f>5000*Costs!I3</f>
        <v>215312.5</v>
      </c>
      <c r="E19" s="10">
        <f>5000*Costs!J3</f>
        <v>43062.499999999985</v>
      </c>
    </row>
    <row r="20" spans="1:5" x14ac:dyDescent="0.2">
      <c r="A20" s="6">
        <v>5000</v>
      </c>
      <c r="B20" s="9" t="str">
        <f>Costs!A4</f>
        <v>Película natural termoencogible con UV 18 meses</v>
      </c>
      <c r="C20" s="10">
        <f>5000*Costs!G4</f>
        <v>177850</v>
      </c>
      <c r="D20" s="10">
        <f>5000*Costs!I4</f>
        <v>222312.5</v>
      </c>
      <c r="E20" s="10">
        <f>5000*Costs!J4</f>
        <v>44462.499999999993</v>
      </c>
    </row>
    <row r="21" spans="1:5" x14ac:dyDescent="0.2">
      <c r="A21" s="6">
        <v>5000</v>
      </c>
      <c r="B21" s="9" t="str">
        <f>Costs!A5</f>
        <v>Película coex</v>
      </c>
      <c r="C21" s="10">
        <f>5000*Costs!G5</f>
        <v>170250</v>
      </c>
      <c r="D21" s="10">
        <f>5000*Costs!I5</f>
        <v>212812.49999999997</v>
      </c>
      <c r="E21" s="10">
        <f>5000*Costs!J5</f>
        <v>42562.499999999978</v>
      </c>
    </row>
    <row r="22" spans="1:5" x14ac:dyDescent="0.2">
      <c r="A22" s="6">
        <v>10000</v>
      </c>
      <c r="B22" s="9" t="str">
        <f>Costs!A2</f>
        <v>Película natural sin aditivos</v>
      </c>
      <c r="C22" s="10">
        <f>10000*Costs!G2</f>
        <v>352500</v>
      </c>
      <c r="D22" s="10">
        <f>10000*Costs!I2</f>
        <v>440625</v>
      </c>
      <c r="E22" s="10">
        <f>10000*Costs!J2</f>
        <v>88125</v>
      </c>
    </row>
    <row r="23" spans="1:5" x14ac:dyDescent="0.2">
      <c r="A23" s="6">
        <v>10000</v>
      </c>
      <c r="B23" s="9" t="str">
        <f>Costs!A3</f>
        <v>Película termoencogible</v>
      </c>
      <c r="C23" s="10">
        <f>10000*Costs!G3</f>
        <v>344500</v>
      </c>
      <c r="D23" s="10">
        <f>10000*Costs!I3</f>
        <v>430625</v>
      </c>
      <c r="E23" s="10">
        <f>10000*Costs!J3</f>
        <v>86124.999999999971</v>
      </c>
    </row>
    <row r="24" spans="1:5" x14ac:dyDescent="0.2">
      <c r="A24" s="6">
        <v>10000</v>
      </c>
      <c r="B24" s="9" t="str">
        <f>Costs!A4</f>
        <v>Película natural termoencogible con UV 18 meses</v>
      </c>
      <c r="C24" s="10">
        <f>10000*Costs!G4</f>
        <v>355700</v>
      </c>
      <c r="D24" s="10">
        <f>10000*Costs!I4</f>
        <v>444625</v>
      </c>
      <c r="E24" s="10">
        <f>10000*Costs!J4</f>
        <v>88924.999999999985</v>
      </c>
    </row>
    <row r="25" spans="1:5" x14ac:dyDescent="0.2">
      <c r="A25" s="6">
        <v>10000</v>
      </c>
      <c r="B25" s="9" t="str">
        <f>Costs!A5</f>
        <v>Película coex</v>
      </c>
      <c r="C25" s="10">
        <f>10000*Costs!G5</f>
        <v>340500</v>
      </c>
      <c r="D25" s="10">
        <f>10000*Costs!I5</f>
        <v>425624.99999999994</v>
      </c>
      <c r="E25" s="10">
        <f>10000*Costs!J5</f>
        <v>85124.999999999956</v>
      </c>
    </row>
    <row r="26" spans="1:5" x14ac:dyDescent="0.2">
      <c r="A26" s="6">
        <v>20000</v>
      </c>
      <c r="B26" s="9" t="str">
        <f>Costs!A2</f>
        <v>Película natural sin aditivos</v>
      </c>
      <c r="C26" s="10">
        <f>20000*Costs!G2</f>
        <v>705000</v>
      </c>
      <c r="D26" s="10">
        <f>20000*Costs!I2</f>
        <v>881250</v>
      </c>
      <c r="E26" s="10">
        <f>20000*Costs!J2</f>
        <v>176250</v>
      </c>
    </row>
    <row r="27" spans="1:5" x14ac:dyDescent="0.2">
      <c r="A27" s="6">
        <v>20000</v>
      </c>
      <c r="B27" s="9" t="str">
        <f>Costs!A3</f>
        <v>Película termoencogible</v>
      </c>
      <c r="C27" s="10">
        <f>20000*Costs!G3</f>
        <v>689000</v>
      </c>
      <c r="D27" s="10">
        <f>20000*Costs!I3</f>
        <v>861250</v>
      </c>
      <c r="E27" s="10">
        <f>20000*Costs!J3</f>
        <v>172249.99999999994</v>
      </c>
    </row>
    <row r="28" spans="1:5" x14ac:dyDescent="0.2">
      <c r="A28" s="6">
        <v>20000</v>
      </c>
      <c r="B28" s="9" t="str">
        <f>Costs!A4</f>
        <v>Película natural termoencogible con UV 18 meses</v>
      </c>
      <c r="C28" s="10">
        <f>20000*Costs!G4</f>
        <v>711400</v>
      </c>
      <c r="D28" s="10">
        <f>20000*Costs!I4</f>
        <v>889250</v>
      </c>
      <c r="E28" s="10">
        <f>20000*Costs!J4</f>
        <v>177849.99999999997</v>
      </c>
    </row>
    <row r="29" spans="1:5" x14ac:dyDescent="0.2">
      <c r="A29" s="6">
        <v>20000</v>
      </c>
      <c r="B29" s="9" t="str">
        <f>Costs!A5</f>
        <v>Película coex</v>
      </c>
      <c r="C29" s="10">
        <f>20000*Costs!G5</f>
        <v>681000</v>
      </c>
      <c r="D29" s="10">
        <f>20000*Costs!I5</f>
        <v>851249.99999999988</v>
      </c>
      <c r="E29" s="10">
        <f>20000*Costs!J5</f>
        <v>170249.99999999991</v>
      </c>
    </row>
    <row r="30" spans="1:5" x14ac:dyDescent="0.2">
      <c r="A30" s="6">
        <v>50000</v>
      </c>
      <c r="B30" s="9" t="str">
        <f>Costs!A2</f>
        <v>Película natural sin aditivos</v>
      </c>
      <c r="C30" s="10">
        <f>50000*Costs!G2</f>
        <v>1762500</v>
      </c>
      <c r="D30" s="10">
        <f>50000*Costs!I2</f>
        <v>2203125</v>
      </c>
      <c r="E30" s="10">
        <f>50000*Costs!J2</f>
        <v>440625</v>
      </c>
    </row>
    <row r="31" spans="1:5" x14ac:dyDescent="0.2">
      <c r="A31" s="6">
        <v>50000</v>
      </c>
      <c r="B31" s="9" t="str">
        <f>Costs!A3</f>
        <v>Película termoencogible</v>
      </c>
      <c r="C31" s="10">
        <f>50000*Costs!G3</f>
        <v>1722500.0000000002</v>
      </c>
      <c r="D31" s="10">
        <f>50000*Costs!I3</f>
        <v>2153125</v>
      </c>
      <c r="E31" s="10">
        <f>50000*Costs!J3</f>
        <v>430624.99999999988</v>
      </c>
    </row>
    <row r="32" spans="1:5" x14ac:dyDescent="0.2">
      <c r="A32" s="6">
        <v>50000</v>
      </c>
      <c r="B32" s="9" t="str">
        <f>Costs!A4</f>
        <v>Película natural termoencogible con UV 18 meses</v>
      </c>
      <c r="C32" s="10">
        <f>50000*Costs!G4</f>
        <v>1778500</v>
      </c>
      <c r="D32" s="10">
        <f>50000*Costs!I4</f>
        <v>2223125</v>
      </c>
      <c r="E32" s="10">
        <f>50000*Costs!J4</f>
        <v>444624.99999999994</v>
      </c>
    </row>
    <row r="33" spans="1:5" x14ac:dyDescent="0.2">
      <c r="A33" s="6">
        <v>50000</v>
      </c>
      <c r="B33" s="9" t="str">
        <f>Costs!A5</f>
        <v>Película coex</v>
      </c>
      <c r="C33" s="10">
        <f>50000*Costs!G5</f>
        <v>1702499.9999999998</v>
      </c>
      <c r="D33" s="10">
        <f>50000*Costs!I5</f>
        <v>2128124.9999999995</v>
      </c>
      <c r="E33" s="10">
        <f>50000*Costs!J5</f>
        <v>425624.99999999977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B15" sqref="B15"/>
    </sheetView>
  </sheetViews>
  <sheetFormatPr baseColWidth="10" defaultColWidth="9.140625" defaultRowHeight="12.75" x14ac:dyDescent="0.2"/>
  <cols>
    <col min="1" max="4" width="32" style="2" customWidth="1"/>
    <col min="5" max="16384" width="9.1406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/>
      <c r="C2" s="3" t="s">
        <v>5</v>
      </c>
      <c r="D2" s="3" t="s">
        <v>54</v>
      </c>
    </row>
    <row r="3" spans="1:4" x14ac:dyDescent="0.2">
      <c r="A3" s="3" t="s">
        <v>7</v>
      </c>
      <c r="B3" s="3"/>
      <c r="C3" s="3" t="s">
        <v>5</v>
      </c>
      <c r="D3" s="3" t="s">
        <v>55</v>
      </c>
    </row>
    <row r="4" spans="1:4" x14ac:dyDescent="0.2">
      <c r="A4" s="3" t="s">
        <v>9</v>
      </c>
      <c r="B4" s="3"/>
      <c r="C4" s="3" t="s">
        <v>5</v>
      </c>
      <c r="D4" s="3" t="s">
        <v>56</v>
      </c>
    </row>
    <row r="5" spans="1:4" x14ac:dyDescent="0.2">
      <c r="A5" s="3" t="s">
        <v>11</v>
      </c>
      <c r="B5" s="3"/>
      <c r="C5" s="3" t="s">
        <v>5</v>
      </c>
      <c r="D5" s="3" t="s">
        <v>57</v>
      </c>
    </row>
    <row r="6" spans="1:4" x14ac:dyDescent="0.2">
      <c r="A6" s="3" t="s">
        <v>13</v>
      </c>
      <c r="B6" s="3"/>
      <c r="C6" s="3" t="s">
        <v>14</v>
      </c>
      <c r="D6" s="3" t="s">
        <v>58</v>
      </c>
    </row>
    <row r="7" spans="1:4" x14ac:dyDescent="0.2">
      <c r="A7" s="3" t="s">
        <v>16</v>
      </c>
      <c r="B7" s="3"/>
      <c r="C7" s="3" t="s">
        <v>17</v>
      </c>
      <c r="D7" s="3" t="s">
        <v>59</v>
      </c>
    </row>
    <row r="8" spans="1:4" x14ac:dyDescent="0.2">
      <c r="A8" s="3" t="s">
        <v>19</v>
      </c>
      <c r="B8" s="3"/>
      <c r="C8" s="3" t="s">
        <v>20</v>
      </c>
      <c r="D8" s="3" t="s">
        <v>60</v>
      </c>
    </row>
    <row r="9" spans="1:4" x14ac:dyDescent="0.2">
      <c r="A9" s="3" t="s">
        <v>21</v>
      </c>
      <c r="B9" s="3"/>
      <c r="C9" s="3" t="s">
        <v>22</v>
      </c>
      <c r="D9" s="3" t="s">
        <v>61</v>
      </c>
    </row>
    <row r="10" spans="1:4" x14ac:dyDescent="0.2">
      <c r="A10" s="3" t="s">
        <v>24</v>
      </c>
      <c r="B10" s="3"/>
      <c r="C10" s="3" t="s">
        <v>5</v>
      </c>
      <c r="D10" s="3" t="s">
        <v>62</v>
      </c>
    </row>
    <row r="11" spans="1:4" x14ac:dyDescent="0.2">
      <c r="A11" s="3" t="s">
        <v>26</v>
      </c>
      <c r="B11" s="3"/>
      <c r="C11" s="3" t="s">
        <v>5</v>
      </c>
      <c r="D11" s="3" t="s">
        <v>63</v>
      </c>
    </row>
    <row r="12" spans="1:4" x14ac:dyDescent="0.2">
      <c r="A12" s="3" t="s">
        <v>28</v>
      </c>
      <c r="B12" s="4"/>
      <c r="C12" s="3" t="s">
        <v>29</v>
      </c>
      <c r="D12" s="3" t="s">
        <v>64</v>
      </c>
    </row>
    <row r="13" spans="1:4" x14ac:dyDescent="0.2">
      <c r="A13" s="3" t="s">
        <v>65</v>
      </c>
      <c r="B13" s="3"/>
      <c r="C13" s="3" t="s">
        <v>5</v>
      </c>
      <c r="D13" s="3" t="s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selection activeCell="A10" sqref="A10"/>
    </sheetView>
  </sheetViews>
  <sheetFormatPr baseColWidth="10" defaultColWidth="9.140625" defaultRowHeight="12.75" x14ac:dyDescent="0.2"/>
  <cols>
    <col min="1" max="1" width="43.140625" style="2" bestFit="1" customWidth="1"/>
    <col min="2" max="9" width="25" style="8" customWidth="1"/>
    <col min="10" max="10" width="69.85546875" style="2" bestFit="1" customWidth="1"/>
    <col min="11" max="16384" width="9.140625" style="2"/>
  </cols>
  <sheetData>
    <row r="1" spans="1:10" x14ac:dyDescent="0.2">
      <c r="A1" s="5" t="s">
        <v>31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75</v>
      </c>
    </row>
    <row r="2" spans="1:10" x14ac:dyDescent="0.2">
      <c r="A2" s="3" t="str">
        <f>Formulations!A2</f>
        <v>Película natural sin aditivos</v>
      </c>
      <c r="B2" s="6">
        <f>Formulations!B2*CostosReales!B2 + Formulations!C2*CostosReales!B3 + Formulations!D2*CostosReales!B4 + Formulations!E2*CostosReales!B5</f>
        <v>0</v>
      </c>
      <c r="C2" s="6">
        <f>CostosReales!B6*CostosReales!B7</f>
        <v>0</v>
      </c>
      <c r="D2" s="6">
        <f>CostosReales!B8*CostosReales!B9</f>
        <v>0</v>
      </c>
      <c r="E2" s="6">
        <f>SUM(B2:D2)</f>
        <v>0</v>
      </c>
      <c r="F2" s="6">
        <f>E2 + CostosReales!B10 + CostosReales!B11</f>
        <v>0</v>
      </c>
      <c r="G2" s="6">
        <f>F2/(1 - CostosReales!B12)</f>
        <v>0</v>
      </c>
      <c r="H2" s="6">
        <f>G2 - F2</f>
        <v>0</v>
      </c>
      <c r="I2" s="6">
        <f>H2 - CostosReales!B13</f>
        <v>0</v>
      </c>
      <c r="J2" s="3" t="s">
        <v>76</v>
      </c>
    </row>
    <row r="3" spans="1:10" x14ac:dyDescent="0.2">
      <c r="A3" s="3" t="str">
        <f>Formulations!A3</f>
        <v>Película termoencogible</v>
      </c>
      <c r="B3" s="6">
        <f>Formulations!B3*CostosReales!B2 + Formulations!C3*CostosReales!B3 + Formulations!D3*CostosReales!B4 + Formulations!E3*CostosReales!B5</f>
        <v>0</v>
      </c>
      <c r="C3" s="6">
        <f>CostosReales!B6*CostosReales!B7</f>
        <v>0</v>
      </c>
      <c r="D3" s="6">
        <f>CostosReales!B8*CostosReales!B9</f>
        <v>0</v>
      </c>
      <c r="E3" s="6">
        <f>SUM(B3:D3)</f>
        <v>0</v>
      </c>
      <c r="F3" s="6">
        <f>E3 + CostosReales!B10 + CostosReales!B11</f>
        <v>0</v>
      </c>
      <c r="G3" s="6">
        <f>F3/(1 - CostosReales!B12)</f>
        <v>0</v>
      </c>
      <c r="H3" s="6">
        <f>G3 - F3</f>
        <v>0</v>
      </c>
      <c r="I3" s="6">
        <f>H3 - CostosReales!B13</f>
        <v>0</v>
      </c>
      <c r="J3" s="3" t="s">
        <v>77</v>
      </c>
    </row>
    <row r="4" spans="1:10" x14ac:dyDescent="0.2">
      <c r="A4" s="3" t="str">
        <f>Formulations!A4</f>
        <v>Película natural termoencogible con UV 18 meses</v>
      </c>
      <c r="B4" s="6">
        <f>Formulations!B4*CostosReales!B2 + Formulations!C4*CostosReales!B3 + Formulations!D4*CostosReales!B4 + Formulations!E4*CostosReales!B5</f>
        <v>0</v>
      </c>
      <c r="C4" s="6">
        <f>CostosReales!B6*CostosReales!B7</f>
        <v>0</v>
      </c>
      <c r="D4" s="6">
        <f>CostosReales!B8*CostosReales!B9</f>
        <v>0</v>
      </c>
      <c r="E4" s="6">
        <f>SUM(B4:D4)</f>
        <v>0</v>
      </c>
      <c r="F4" s="6">
        <f>E4 + CostosReales!B10 + CostosReales!B11</f>
        <v>0</v>
      </c>
      <c r="G4" s="6">
        <f>F4/(1 - CostosReales!B12)</f>
        <v>0</v>
      </c>
      <c r="H4" s="6">
        <f>G4 - F4</f>
        <v>0</v>
      </c>
      <c r="I4" s="6">
        <f>H4 - CostosReales!B13</f>
        <v>0</v>
      </c>
      <c r="J4" s="3" t="s">
        <v>78</v>
      </c>
    </row>
    <row r="5" spans="1:10" x14ac:dyDescent="0.2">
      <c r="A5" s="3" t="str">
        <f>Formulations!A5</f>
        <v>Película coex</v>
      </c>
      <c r="B5" s="6">
        <f>Formulations!B5*CostosReales!B2 + Formulations!C5*CostosReales!B3 + Formulations!D5*CostosReales!B4 + Formulations!E5*CostosReales!B5</f>
        <v>0</v>
      </c>
      <c r="C5" s="6">
        <f>CostosReales!B6*CostosReales!B7</f>
        <v>0</v>
      </c>
      <c r="D5" s="6">
        <f>CostosReales!B8*CostosReales!B9</f>
        <v>0</v>
      </c>
      <c r="E5" s="6">
        <f>SUM(B5:D5)</f>
        <v>0</v>
      </c>
      <c r="F5" s="6">
        <f>E5 + CostosReales!B10 + CostosReales!B11</f>
        <v>0</v>
      </c>
      <c r="G5" s="6">
        <f>F5/(1 - CostosReales!B12)</f>
        <v>0</v>
      </c>
      <c r="H5" s="6">
        <f>G5 - F5</f>
        <v>0</v>
      </c>
      <c r="I5" s="6">
        <f>H5 - CostosReales!B13</f>
        <v>0</v>
      </c>
      <c r="J5" s="3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Inputs</vt:lpstr>
      <vt:lpstr>Formulations</vt:lpstr>
      <vt:lpstr>Costs</vt:lpstr>
      <vt:lpstr>Dashboard</vt:lpstr>
      <vt:lpstr>RunSizes</vt:lpstr>
      <vt:lpstr>CostosReales</vt:lpstr>
      <vt:lpstr>ResultadosCostos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2025-11-22T00:09:45Z</dcterms:created>
  <dcterms:modified xsi:type="dcterms:W3CDTF">2025-11-24T03:25:11Z</dcterms:modified>
</cp:coreProperties>
</file>